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salinas\Desktop\"/>
    </mc:Choice>
  </mc:AlternateContent>
  <xr:revisionPtr revIDLastSave="0" documentId="13_ncr:1_{9AE660E2-BF86-4AAA-A280-3738A713B28A}" xr6:coauthVersionLast="47" xr6:coauthVersionMax="47" xr10:uidLastSave="{00000000-0000-0000-0000-000000000000}"/>
  <bookViews>
    <workbookView xWindow="-28920" yWindow="-2850" windowWidth="29040" windowHeight="15840" tabRatio="500" xr2:uid="{00000000-000D-0000-FFFF-FFFF00000000}"/>
  </bookViews>
  <sheets>
    <sheet name="Cotizacion" sheetId="1" r:id="rId1"/>
    <sheet name="Listas" sheetId="2" state="hidden" r:id="rId2"/>
    <sheet name="Tarifas Referencia" sheetId="3" r:id="rId3"/>
  </sheets>
  <definedNames>
    <definedName name="_xlnm._FilterDatabase" localSheetId="2" hidden="1">'Tarifas Referencia'!$A$1:$L$19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6" i="1" l="1"/>
  <c r="C16" i="1"/>
  <c r="G15" i="1"/>
  <c r="C15" i="1"/>
  <c r="G14" i="1"/>
  <c r="C14" i="1"/>
  <c r="G13" i="1"/>
  <c r="C13" i="1"/>
</calcChain>
</file>

<file path=xl/sharedStrings.xml><?xml version="1.0" encoding="utf-8"?>
<sst xmlns="http://schemas.openxmlformats.org/spreadsheetml/2006/main" count="243" uniqueCount="96">
  <si>
    <t>COTIZACION DE FLETE MARITIMO</t>
  </si>
  <si>
    <t>Asia -&gt; Chile (San Antonio / Valparaiso) - FCL 20' y 40'</t>
  </si>
  <si>
    <t>N de Cotizacion:</t>
  </si>
  <si>
    <t>Fecha de Emision:</t>
  </si>
  <si>
    <t>Cliente:</t>
  </si>
  <si>
    <t>Valida hasta:</t>
  </si>
  <si>
    <t>Referencia OC / Embarque:</t>
  </si>
  <si>
    <t>Ejecutivo Comercial:</t>
  </si>
  <si>
    <t>DATOS DE LA RUTA</t>
  </si>
  <si>
    <t>Puerto de Origen (Asia):</t>
  </si>
  <si>
    <t>Puerto de Destino (Chile):</t>
  </si>
  <si>
    <t>Tipo de Contenedor:</t>
  </si>
  <si>
    <t>Cantidad de Contenedores:</t>
  </si>
  <si>
    <t>RESULTADO DE LA COTIZACION (automatico segun ruta seleccionada)</t>
  </si>
  <si>
    <t>Tipo de Ruta:</t>
  </si>
  <si>
    <t>Fuente / Referencia:</t>
  </si>
  <si>
    <t>Tarifa Estimada 20 pies (US$):</t>
  </si>
  <si>
    <t>Tarifa Estimada 40 pies (US$):</t>
  </si>
  <si>
    <t>Transito Estimado (dias):</t>
  </si>
  <si>
    <t>Tarifa Aplicable Seleccion (US$/cnt):</t>
  </si>
  <si>
    <t>Total Estimado (rango, US$):</t>
  </si>
  <si>
    <t>Válido para N° cont. indicado arriba:</t>
  </si>
  <si>
    <t>CONDICIONES Y RECARGOS ADICIONALES (no incluidos en la tarifa base)</t>
  </si>
  <si>
    <t>- BAF (recargo por combustible): se ajusta cada 1 a 3 meses segun naviera - no incluido en el rango anterior.</t>
  </si>
  <si>
    <t>- GRI (alza general de tarifa): aplicado por la naviera segun demanda, especialmente en temporada alta (ago-oct).</t>
  </si>
  <si>
    <t>- Recargos portuarios / THC, gastos locales en destino: adicionales segun puerto y naviera.</t>
  </si>
  <si>
    <t>- Arancel de importacion (6% general) e IVA (19%) se calculan sobre el valor CIF, no sobre el flete.</t>
  </si>
  <si>
    <t>- Los valores de flete y transito son referenciales de mercado spot (julio 2026) y varian semanalmente segun naviera, ruta, temporada y disponibilidad de espacio - se recomienda confirmar tarifa spot exacta antes de reservar.</t>
  </si>
  <si>
    <t>OBSERVACIONES</t>
  </si>
  <si>
    <t>Busan</t>
  </si>
  <si>
    <t>San Antonio</t>
  </si>
  <si>
    <t>20'</t>
  </si>
  <si>
    <t>Ho Chi Minh</t>
  </si>
  <si>
    <t>Valparaiso</t>
  </si>
  <si>
    <t>40'</t>
  </si>
  <si>
    <t>Ningbo</t>
  </si>
  <si>
    <t>Qingdao</t>
  </si>
  <si>
    <t>Shanghai</t>
  </si>
  <si>
    <t>Shenzhen / Yantian</t>
  </si>
  <si>
    <t>Singapur</t>
  </si>
  <si>
    <t>Tianjin</t>
  </si>
  <si>
    <t>Tokio / Yokohama</t>
  </si>
  <si>
    <t>Clave</t>
  </si>
  <si>
    <t>Puerto Origen</t>
  </si>
  <si>
    <t>Pais Origen</t>
  </si>
  <si>
    <t>Puerto Destino</t>
  </si>
  <si>
    <t>Tipo de Ruta</t>
  </si>
  <si>
    <t>Tarifa 20' Min (US$)</t>
  </si>
  <si>
    <t>Tarifa 20' Max (US$)</t>
  </si>
  <si>
    <t>Tarifa 40' Min (US$)</t>
  </si>
  <si>
    <t>Tarifa 40' Max (US$)</t>
  </si>
  <si>
    <t>Transito Min (dias)</t>
  </si>
  <si>
    <t>Transito Max (dias)</t>
  </si>
  <si>
    <t>Fuente</t>
  </si>
  <si>
    <t>Shanghai|San Antonio</t>
  </si>
  <si>
    <t>China</t>
  </si>
  <si>
    <t>Directo / Transbordo</t>
  </si>
  <si>
    <t>Segucargo / Delpa Group 2026</t>
  </si>
  <si>
    <t>Shanghai|Valparaiso</t>
  </si>
  <si>
    <t>Ningbo|San Antonio</t>
  </si>
  <si>
    <t>Ningbo|Valparaiso</t>
  </si>
  <si>
    <t>Qingdao|San Antonio</t>
  </si>
  <si>
    <t>Qingdao|Valparaiso</t>
  </si>
  <si>
    <t>Shenzhen / Yantian|San Antonio</t>
  </si>
  <si>
    <t>Shenzhen / Yantian|Valparaiso</t>
  </si>
  <si>
    <t>Tianjin|San Antonio</t>
  </si>
  <si>
    <t>Transbordo</t>
  </si>
  <si>
    <t>Tianjin|Valparaiso</t>
  </si>
  <si>
    <t>Busan|San Antonio</t>
  </si>
  <si>
    <t>Corea del Sur</t>
  </si>
  <si>
    <t>MundoMaritimo / Delpa Group 2026</t>
  </si>
  <si>
    <t>Busan|Valparaiso</t>
  </si>
  <si>
    <t>Tokio / Yokohama|San Antonio</t>
  </si>
  <si>
    <t>Japon</t>
  </si>
  <si>
    <t>Estimado referencial 2026</t>
  </si>
  <si>
    <t>Tokio / Yokohama|Valparaiso</t>
  </si>
  <si>
    <t>Ho Chi Minh|San Antonio</t>
  </si>
  <si>
    <t>Vietnam</t>
  </si>
  <si>
    <t>Ho Chi Minh|Valparaiso</t>
  </si>
  <si>
    <t>Singapur|San Antonio</t>
  </si>
  <si>
    <t>Singapur|Valparaiso</t>
  </si>
  <si>
    <t xml:space="preserve">GRUPO CINTAC ONE </t>
  </si>
  <si>
    <t>Juan Perez</t>
  </si>
  <si>
    <t xml:space="preserve">Claudio </t>
  </si>
  <si>
    <t>Chiletrans</t>
  </si>
  <si>
    <t>Stanmore</t>
  </si>
  <si>
    <t>Fedex</t>
  </si>
  <si>
    <t>DHL</t>
  </si>
  <si>
    <t>lunch</t>
  </si>
  <si>
    <t>contigo</t>
  </si>
  <si>
    <t xml:space="preserve">klog </t>
  </si>
  <si>
    <t>Delfin</t>
  </si>
  <si>
    <t>KN</t>
  </si>
  <si>
    <t>multimodal</t>
  </si>
  <si>
    <t>ab pacific</t>
  </si>
  <si>
    <t>modul logistic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</si>
</sst>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9" x14ac:knownFonts="1">
    <font>
      <sz val="11"/>
      <color theme="1"/>
      <name val="Calibri"/>
      <family val="2"/>
      <charset val="1"/>
    </font>
    <font>
      <b/>
      <sz val="14"/>
      <color rgb="FF1F4E78"/>
      <name val="Arial"/>
      <family val="2"/>
    </font>
    <font>
      <b/>
      <sz val="11"/>
      <color rgb="FFFFFFFF"/>
      <name val="Arial"/>
      <family val="2"/>
    </font>
    <font>
      <i/>
      <sz val="9"/>
      <color rgb="FF595959"/>
      <name val="Arial"/>
      <family val="2"/>
    </font>
    <font>
      <sz val="9"/>
      <name val="Arial"/>
      <family val="2"/>
    </font>
    <font>
      <b/>
      <sz val="10"/>
      <color rgb="FF1F4E78"/>
      <name val="Arial"/>
      <family val="2"/>
    </font>
    <font>
      <sz val="10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9E6"/>
        <bgColor rgb="FFFFFFFF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FFF9E6"/>
      </patternFill>
    </fill>
  </fills>
  <borders count="2">
    <border>
      <left/>
      <right/>
      <top/>
      <bottom/>
      <diagonal/>
    </border>
    <border>
      <left style="thin">
        <color rgb="FFB7C6DB"/>
      </left>
      <right style="thin">
        <color rgb="FFB7C6DB"/>
      </right>
      <top style="thin">
        <color rgb="FFB7C6DB"/>
      </top>
      <bottom style="thin">
        <color rgb="FFB7C6D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8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 wrapText="1" indent="1"/>
    </xf>
    <xf numFmtId="0" fontId="7" fillId="2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top" wrapText="1" indent="1"/>
    </xf>
    <xf numFmtId="0" fontId="5" fillId="4" borderId="1" xfId="0" applyFont="1" applyFill="1" applyBorder="1" applyAlignment="1">
      <alignment horizontal="left" vertical="center" wrapText="1" indent="1"/>
    </xf>
    <xf numFmtId="0" fontId="6" fillId="5" borderId="1" xfId="0" applyFont="1" applyFill="1" applyBorder="1" applyAlignment="1">
      <alignment horizontal="left" vertical="center" indent="1"/>
    </xf>
    <xf numFmtId="0" fontId="6" fillId="6" borderId="1" xfId="0" applyFont="1" applyFill="1" applyBorder="1" applyAlignment="1">
      <alignment horizontal="left" vertical="center" indent="1"/>
    </xf>
    <xf numFmtId="0" fontId="6" fillId="4" borderId="1" xfId="0" applyFont="1" applyFill="1" applyBorder="1" applyAlignment="1">
      <alignment horizontal="left" vertical="center" indent="1"/>
    </xf>
    <xf numFmtId="0" fontId="6" fillId="3" borderId="1" xfId="0" applyFont="1" applyFill="1" applyBorder="1" applyAlignment="1">
      <alignment horizontal="left" vertical="center" indent="1"/>
    </xf>
    <xf numFmtId="3" fontId="6" fillId="3" borderId="1" xfId="0" applyNumberFormat="1" applyFont="1" applyFill="1" applyBorder="1" applyAlignment="1">
      <alignment horizontal="left" vertical="center" indent="1"/>
    </xf>
    <xf numFmtId="164" fontId="6" fillId="3" borderId="1" xfId="0" applyNumberFormat="1" applyFont="1" applyFill="1" applyBorder="1" applyAlignment="1">
      <alignment horizontal="left" vertical="center" indent="1"/>
    </xf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6DB"/>
      <rgbColor rgb="FF808080"/>
      <rgbColor rgb="FF9999FF"/>
      <rgbColor rgb="FF993366"/>
      <rgbColor rgb="FFFFF9E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2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showGridLines="0" tabSelected="1" zoomScaleNormal="100" workbookViewId="0">
      <pane ySplit="3" topLeftCell="A4" activePane="bottomLeft" state="frozen"/>
      <selection pane="bottomLeft" activeCell="C9" sqref="C9:D9"/>
    </sheetView>
  </sheetViews>
  <sheetFormatPr baseColWidth="10" defaultColWidth="8.5703125" defaultRowHeight="15" x14ac:dyDescent="0.25"/>
  <cols>
    <col min="1" max="7" width="15" customWidth="1"/>
    <col min="8" max="8" width="19.5703125" customWidth="1"/>
  </cols>
  <sheetData>
    <row r="1" spans="1:8" ht="30" customHeight="1" x14ac:dyDescent="0.25">
      <c r="A1" s="14" t="s">
        <v>81</v>
      </c>
      <c r="B1" s="14"/>
      <c r="C1" s="14"/>
      <c r="D1" s="14"/>
      <c r="E1" s="14"/>
      <c r="F1" s="15" t="s">
        <v>0</v>
      </c>
      <c r="G1" s="15"/>
      <c r="H1" s="15"/>
    </row>
    <row r="2" spans="1:8" x14ac:dyDescent="0.25">
      <c r="A2" s="16" t="s">
        <v>1</v>
      </c>
      <c r="B2" s="16"/>
      <c r="C2" s="16"/>
      <c r="D2" s="16"/>
      <c r="E2" s="16"/>
      <c r="F2" s="17"/>
      <c r="G2" s="17"/>
      <c r="H2" s="17"/>
    </row>
    <row r="4" spans="1:8" ht="18" customHeight="1" x14ac:dyDescent="0.25">
      <c r="A4" s="7" t="s">
        <v>2</v>
      </c>
      <c r="B4" s="7"/>
      <c r="C4" s="11"/>
      <c r="D4" s="11"/>
      <c r="E4" s="7" t="s">
        <v>3</v>
      </c>
      <c r="F4" s="7"/>
      <c r="G4" s="13">
        <v>46226.110069367402</v>
      </c>
      <c r="H4" s="13"/>
    </row>
    <row r="5" spans="1:8" ht="18" customHeight="1" x14ac:dyDescent="0.25">
      <c r="A5" s="7" t="s">
        <v>4</v>
      </c>
      <c r="B5" s="7"/>
      <c r="C5" s="11"/>
      <c r="D5" s="11"/>
      <c r="E5" s="7" t="s">
        <v>5</v>
      </c>
      <c r="F5" s="7"/>
      <c r="G5" s="13"/>
      <c r="H5" s="13"/>
    </row>
    <row r="6" spans="1:8" ht="18" customHeight="1" x14ac:dyDescent="0.25">
      <c r="A6" s="7" t="s">
        <v>6</v>
      </c>
      <c r="B6" s="7"/>
      <c r="C6" s="11"/>
      <c r="D6" s="11"/>
      <c r="E6" s="7" t="s">
        <v>7</v>
      </c>
      <c r="F6" s="7"/>
      <c r="G6" s="11"/>
      <c r="H6" s="11"/>
    </row>
    <row r="8" spans="1:8" ht="21.75" customHeight="1" x14ac:dyDescent="0.25">
      <c r="A8" s="5" t="s">
        <v>8</v>
      </c>
      <c r="B8" s="5"/>
      <c r="C8" s="5"/>
      <c r="D8" s="5"/>
      <c r="E8" s="5"/>
      <c r="F8" s="5"/>
      <c r="G8" s="5"/>
      <c r="H8" s="5"/>
    </row>
    <row r="9" spans="1:8" ht="18" customHeight="1" x14ac:dyDescent="0.25">
      <c r="A9" s="7" t="s">
        <v>9</v>
      </c>
      <c r="B9" s="7"/>
      <c r="C9" s="11" t="s">
        <v>37</v>
      </c>
      <c r="D9" s="11"/>
      <c r="E9" s="7" t="s">
        <v>10</v>
      </c>
      <c r="F9" s="7"/>
      <c r="G9" s="11" t="s">
        <v>33</v>
      </c>
      <c r="H9" s="11"/>
    </row>
    <row r="10" spans="1:8" ht="18" customHeight="1" x14ac:dyDescent="0.25">
      <c r="A10" s="7" t="s">
        <v>11</v>
      </c>
      <c r="B10" s="7"/>
      <c r="C10" s="11"/>
      <c r="D10" s="11"/>
      <c r="E10" s="7" t="s">
        <v>12</v>
      </c>
      <c r="F10" s="7"/>
      <c r="G10" s="12"/>
      <c r="H10" s="12"/>
    </row>
    <row r="12" spans="1:8" ht="21.75" customHeight="1" x14ac:dyDescent="0.25">
      <c r="A12" s="5" t="s">
        <v>13</v>
      </c>
      <c r="B12" s="5"/>
      <c r="C12" s="5"/>
      <c r="D12" s="5"/>
      <c r="E12" s="5"/>
      <c r="F12" s="5"/>
      <c r="G12" s="5"/>
      <c r="H12" s="5"/>
    </row>
    <row r="13" spans="1:8" ht="18" customHeight="1" x14ac:dyDescent="0.25">
      <c r="A13" s="7" t="s">
        <v>14</v>
      </c>
      <c r="B13" s="7"/>
      <c r="C13" s="8" t="str">
        <f>IFERROR(VLOOKUP(C9&amp;"|"&amp;G9,'Tarifas Referencia'!$A:$L,5,0),"Selecciona origen y destino")</f>
        <v>Directo / Transbordo</v>
      </c>
      <c r="D13" s="8"/>
      <c r="E13" s="7" t="s">
        <v>15</v>
      </c>
      <c r="F13" s="7"/>
      <c r="G13" s="8" t="str">
        <f>IFERROR(VLOOKUP(C9&amp;"|"&amp;G9,'Tarifas Referencia'!$A:$L,12,0),"")</f>
        <v>Segucargo / Delpa Group 2026</v>
      </c>
      <c r="H13" s="8"/>
    </row>
    <row r="14" spans="1:8" ht="18" customHeight="1" x14ac:dyDescent="0.25">
      <c r="A14" s="7" t="s">
        <v>16</v>
      </c>
      <c r="B14" s="7"/>
      <c r="C14" s="8" t="str">
        <f>IFERROR(VLOOKUP(C9&amp;"|"&amp;G9,'Tarifas Referencia'!$A:$L,6,0)&amp;" - "&amp;VLOOKUP(C9&amp;"|"&amp;G9,'Tarifas Referencia'!$A:$L,7,0),"")</f>
        <v>1650 - 2850</v>
      </c>
      <c r="D14" s="8"/>
      <c r="E14" s="7" t="s">
        <v>17</v>
      </c>
      <c r="F14" s="7"/>
      <c r="G14" s="8" t="str">
        <f>IFERROR(VLOOKUP(C9&amp;"|"&amp;G9,'Tarifas Referencia'!$A:$L,8,0)&amp;" - "&amp;VLOOKUP(C9&amp;"|"&amp;G9,'Tarifas Referencia'!$A:$L,9,0),"")</f>
        <v>2350 - 3850</v>
      </c>
      <c r="H14" s="8"/>
    </row>
    <row r="15" spans="1:8" ht="29.45" customHeight="1" x14ac:dyDescent="0.25">
      <c r="A15" s="7" t="s">
        <v>18</v>
      </c>
      <c r="B15" s="7"/>
      <c r="C15" s="8" t="str">
        <f>IFERROR(VLOOKUP(C9&amp;"|"&amp;G9,'Tarifas Referencia'!$A:$L,10,0)&amp;" a "&amp;VLOOKUP(C9&amp;"|"&amp;G9,'Tarifas Referencia'!$A:$L,11,0)&amp;" dias","")</f>
        <v>26 a 34 dias</v>
      </c>
      <c r="D15" s="8"/>
      <c r="E15" s="7" t="s">
        <v>19</v>
      </c>
      <c r="F15" s="7"/>
      <c r="G15" s="9" t="str">
        <f>IFERROR(IF(C10="20'",VLOOKUP(C9&amp;"|"&amp;G9,'Tarifas Referencia'!$A:$L,6,0)&amp;" - "&amp;VLOOKUP(C9&amp;"|"&amp;G9,'Tarifas Referencia'!$A:$L,7,0),IF(C10="40'",VLOOKUP(C9&amp;"|"&amp;G9,'Tarifas Referencia'!$A:$L,8,0)&amp;" - "&amp;VLOOKUP(C9&amp;"|"&amp;G9,'Tarifas Referencia'!$A:$L,9,0),"Selecciona tipo de contenedor")),"")</f>
        <v>Selecciona tipo de contenedor</v>
      </c>
      <c r="H15" s="9"/>
    </row>
    <row r="16" spans="1:8" ht="41.45" customHeight="1" x14ac:dyDescent="0.25">
      <c r="A16" s="7" t="s">
        <v>20</v>
      </c>
      <c r="B16" s="7"/>
      <c r="C16" s="9" t="str">
        <f>IFERROR(IF(C10="20'","US$ "&amp;(VLOOKUP(C9&amp;"|"&amp;G9,'Tarifas Referencia'!$A:$L,6,0)*G10)&amp;" a US$ "&amp;(VLOOKUP(C9&amp;"|"&amp;G9,'Tarifas Referencia'!$A:$L,7,0)*G10),IF(C10="40'","US$ "&amp;(VLOOKUP(C9&amp;"|"&amp;G9,'Tarifas Referencia'!$A:$L,8,0)*G10)&amp;" a US$ "&amp;(VLOOKUP(C9&amp;"|"&amp;G9,'Tarifas Referencia'!$A:$L,9,0)*G10),"")),"")</f>
        <v/>
      </c>
      <c r="D16" s="9"/>
      <c r="E16" s="7" t="s">
        <v>21</v>
      </c>
      <c r="F16" s="7"/>
      <c r="G16" s="10" t="str">
        <f>IFERROR(G10&amp;" contenedor(es)","")</f>
        <v xml:space="preserve"> contenedor(es)</v>
      </c>
      <c r="H16" s="10"/>
    </row>
    <row r="18" spans="1:8" ht="21.75" customHeight="1" x14ac:dyDescent="0.25">
      <c r="A18" s="5" t="s">
        <v>22</v>
      </c>
      <c r="B18" s="5"/>
      <c r="C18" s="5"/>
      <c r="D18" s="5"/>
      <c r="E18" s="5"/>
      <c r="F18" s="5"/>
      <c r="G18" s="5"/>
      <c r="H18" s="5"/>
    </row>
    <row r="19" spans="1:8" ht="15.75" customHeight="1" x14ac:dyDescent="0.25">
      <c r="A19" s="4" t="s">
        <v>23</v>
      </c>
      <c r="B19" s="4"/>
      <c r="C19" s="4"/>
      <c r="D19" s="4"/>
      <c r="E19" s="4"/>
      <c r="F19" s="4"/>
      <c r="G19" s="4"/>
      <c r="H19" s="4"/>
    </row>
    <row r="20" spans="1:8" ht="15.75" customHeight="1" x14ac:dyDescent="0.25">
      <c r="A20" s="4" t="s">
        <v>24</v>
      </c>
      <c r="B20" s="4"/>
      <c r="C20" s="4"/>
      <c r="D20" s="4"/>
      <c r="E20" s="4"/>
      <c r="F20" s="4"/>
      <c r="G20" s="4"/>
      <c r="H20" s="4"/>
    </row>
    <row r="21" spans="1:8" ht="15.75" customHeight="1" x14ac:dyDescent="0.25">
      <c r="A21" s="4" t="s">
        <v>25</v>
      </c>
      <c r="B21" s="4"/>
      <c r="C21" s="4"/>
      <c r="D21" s="4"/>
      <c r="E21" s="4"/>
      <c r="F21" s="4"/>
      <c r="G21" s="4"/>
      <c r="H21" s="4"/>
    </row>
    <row r="22" spans="1:8" ht="15.75" customHeight="1" x14ac:dyDescent="0.25">
      <c r="A22" s="4" t="s">
        <v>26</v>
      </c>
      <c r="B22" s="4"/>
      <c r="C22" s="4"/>
      <c r="D22" s="4"/>
      <c r="E22" s="4"/>
      <c r="F22" s="4"/>
      <c r="G22" s="4"/>
      <c r="H22" s="4"/>
    </row>
    <row r="23" spans="1:8" ht="34.5" customHeight="1" x14ac:dyDescent="0.25">
      <c r="A23" s="4" t="s">
        <v>27</v>
      </c>
      <c r="B23" s="4"/>
      <c r="C23" s="4"/>
      <c r="D23" s="4"/>
      <c r="E23" s="4"/>
      <c r="F23" s="4"/>
      <c r="G23" s="4"/>
      <c r="H23" s="4"/>
    </row>
    <row r="25" spans="1:8" ht="21.75" customHeight="1" x14ac:dyDescent="0.25">
      <c r="A25" s="5" t="s">
        <v>28</v>
      </c>
      <c r="B25" s="5"/>
      <c r="C25" s="5"/>
      <c r="D25" s="5"/>
      <c r="E25" s="5"/>
      <c r="F25" s="5"/>
      <c r="G25" s="5"/>
      <c r="H25" s="5"/>
    </row>
    <row r="26" spans="1:8" ht="45" customHeight="1" x14ac:dyDescent="0.25">
      <c r="A26" s="6"/>
      <c r="B26" s="6"/>
      <c r="C26" s="6"/>
      <c r="D26" s="6"/>
      <c r="E26" s="6"/>
      <c r="F26" s="6"/>
      <c r="G26" s="6"/>
      <c r="H26" s="6"/>
    </row>
  </sheetData>
  <mergeCells count="50">
    <mergeCell ref="A1:E1"/>
    <mergeCell ref="F1:H1"/>
    <mergeCell ref="A2:E2"/>
    <mergeCell ref="F2:H2"/>
    <mergeCell ref="A4:B4"/>
    <mergeCell ref="C4:D4"/>
    <mergeCell ref="E4:F4"/>
    <mergeCell ref="G4:H4"/>
    <mergeCell ref="A5:B5"/>
    <mergeCell ref="C5:D5"/>
    <mergeCell ref="E5:F5"/>
    <mergeCell ref="G5:H5"/>
    <mergeCell ref="A6:B6"/>
    <mergeCell ref="C6:D6"/>
    <mergeCell ref="E6:F6"/>
    <mergeCell ref="G6:H6"/>
    <mergeCell ref="A8:H8"/>
    <mergeCell ref="A9:B9"/>
    <mergeCell ref="C9:D9"/>
    <mergeCell ref="E9:F9"/>
    <mergeCell ref="G9:H9"/>
    <mergeCell ref="A10:B10"/>
    <mergeCell ref="C10:D10"/>
    <mergeCell ref="E10:F10"/>
    <mergeCell ref="G10:H10"/>
    <mergeCell ref="A12:H12"/>
    <mergeCell ref="A13:B13"/>
    <mergeCell ref="C13:D13"/>
    <mergeCell ref="E13:F13"/>
    <mergeCell ref="G13:H13"/>
    <mergeCell ref="A14:B14"/>
    <mergeCell ref="C14:D14"/>
    <mergeCell ref="E14:F14"/>
    <mergeCell ref="G14:H14"/>
    <mergeCell ref="A15:B15"/>
    <mergeCell ref="C15:D15"/>
    <mergeCell ref="E15:F15"/>
    <mergeCell ref="G15:H15"/>
    <mergeCell ref="A16:B16"/>
    <mergeCell ref="C16:D16"/>
    <mergeCell ref="E16:F16"/>
    <mergeCell ref="G16:H16"/>
    <mergeCell ref="A23:H23"/>
    <mergeCell ref="A25:H25"/>
    <mergeCell ref="A26:H26"/>
    <mergeCell ref="A18:H18"/>
    <mergeCell ref="A19:H19"/>
    <mergeCell ref="A20:H20"/>
    <mergeCell ref="A21:H21"/>
    <mergeCell ref="A22:H22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000-000000000000}">
          <x14:formula1>
            <xm:f>Listas!$A$1:$A$9</xm:f>
          </x14:formula1>
          <x14:formula2>
            <xm:f>0</xm:f>
          </x14:formula2>
          <xm:sqref>C9</xm:sqref>
        </x14:dataValidation>
        <x14:dataValidation type="list" allowBlank="1" xr:uid="{00000000-0002-0000-0000-000001000000}">
          <x14:formula1>
            <xm:f>Listas!$B$1:$B$2</xm:f>
          </x14:formula1>
          <x14:formula2>
            <xm:f>0</xm:f>
          </x14:formula2>
          <xm:sqref>G9</xm:sqref>
        </x14:dataValidation>
        <x14:dataValidation type="list" allowBlank="1" xr:uid="{00000000-0002-0000-0000-000002000000}">
          <x14:formula1>
            <xm:f>Listas!$C$1:$C$2</xm:f>
          </x14:formula1>
          <x14:formula2>
            <xm:f>0</xm:f>
          </x14:formula2>
          <xm:sqref>C10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zoomScaleNormal="100" workbookViewId="0"/>
  </sheetViews>
  <sheetFormatPr baseColWidth="10" defaultColWidth="8.5703125" defaultRowHeight="15" x14ac:dyDescent="0.25"/>
  <cols>
    <col min="1" max="1" width="22" customWidth="1"/>
  </cols>
  <sheetData>
    <row r="1" spans="1:3" x14ac:dyDescent="0.25">
      <c r="A1" t="s">
        <v>29</v>
      </c>
      <c r="B1" t="s">
        <v>30</v>
      </c>
      <c r="C1" t="s">
        <v>31</v>
      </c>
    </row>
    <row r="2" spans="1:3" x14ac:dyDescent="0.25">
      <c r="A2" t="s">
        <v>32</v>
      </c>
      <c r="B2" t="s">
        <v>33</v>
      </c>
      <c r="C2" t="s">
        <v>34</v>
      </c>
    </row>
    <row r="3" spans="1:3" x14ac:dyDescent="0.25">
      <c r="A3" t="s">
        <v>35</v>
      </c>
    </row>
    <row r="4" spans="1:3" x14ac:dyDescent="0.25">
      <c r="A4" t="s">
        <v>36</v>
      </c>
    </row>
    <row r="5" spans="1:3" x14ac:dyDescent="0.25">
      <c r="A5" t="s">
        <v>37</v>
      </c>
    </row>
    <row r="6" spans="1:3" x14ac:dyDescent="0.25">
      <c r="A6" t="s">
        <v>38</v>
      </c>
    </row>
    <row r="7" spans="1:3" x14ac:dyDescent="0.25">
      <c r="A7" t="s">
        <v>39</v>
      </c>
    </row>
    <row r="8" spans="1:3" x14ac:dyDescent="0.25">
      <c r="A8" t="s">
        <v>40</v>
      </c>
    </row>
    <row r="9" spans="1:3" x14ac:dyDescent="0.25">
      <c r="A9" t="s">
        <v>41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3"/>
  <sheetViews>
    <sheetView showGridLines="0" topLeftCell="B1" zoomScaleNormal="100" workbookViewId="0">
      <pane ySplit="1" topLeftCell="A2" activePane="bottomLeft" state="frozen"/>
      <selection pane="bottomLeft" activeCell="D35" sqref="D35"/>
    </sheetView>
  </sheetViews>
  <sheetFormatPr baseColWidth="10" defaultColWidth="8.5703125" defaultRowHeight="15" x14ac:dyDescent="0.25"/>
  <cols>
    <col min="1" max="1" width="24" customWidth="1"/>
    <col min="2" max="2" width="20" customWidth="1"/>
    <col min="3" max="3" width="14" customWidth="1"/>
    <col min="4" max="4" width="16" customWidth="1"/>
    <col min="5" max="5" width="20" customWidth="1"/>
    <col min="6" max="9" width="14" customWidth="1"/>
    <col min="10" max="11" width="13" customWidth="1"/>
    <col min="12" max="12" width="29" customWidth="1"/>
  </cols>
  <sheetData>
    <row r="1" spans="1:12" ht="24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 x14ac:dyDescent="0.25">
      <c r="A2" s="2" t="s">
        <v>54</v>
      </c>
      <c r="B2" s="2" t="s">
        <v>37</v>
      </c>
      <c r="C2" s="2" t="s">
        <v>55</v>
      </c>
      <c r="D2" s="2" t="s">
        <v>30</v>
      </c>
      <c r="E2" s="2" t="s">
        <v>56</v>
      </c>
      <c r="F2" s="3">
        <v>1600</v>
      </c>
      <c r="G2" s="3">
        <v>2800</v>
      </c>
      <c r="H2" s="3">
        <v>2300</v>
      </c>
      <c r="I2" s="3">
        <v>3800</v>
      </c>
      <c r="J2" s="3">
        <v>25</v>
      </c>
      <c r="K2" s="3">
        <v>32</v>
      </c>
      <c r="L2" s="2" t="s">
        <v>57</v>
      </c>
    </row>
    <row r="3" spans="1:12" x14ac:dyDescent="0.25">
      <c r="A3" s="2" t="s">
        <v>58</v>
      </c>
      <c r="B3" s="2" t="s">
        <v>37</v>
      </c>
      <c r="C3" s="2" t="s">
        <v>55</v>
      </c>
      <c r="D3" s="2" t="s">
        <v>33</v>
      </c>
      <c r="E3" s="2" t="s">
        <v>56</v>
      </c>
      <c r="F3" s="3">
        <v>1650</v>
      </c>
      <c r="G3" s="3">
        <v>2850</v>
      </c>
      <c r="H3" s="3">
        <v>2350</v>
      </c>
      <c r="I3" s="3">
        <v>3850</v>
      </c>
      <c r="J3" s="3">
        <v>26</v>
      </c>
      <c r="K3" s="3">
        <v>34</v>
      </c>
      <c r="L3" s="2" t="s">
        <v>57</v>
      </c>
    </row>
    <row r="4" spans="1:12" x14ac:dyDescent="0.25">
      <c r="A4" s="2" t="s">
        <v>59</v>
      </c>
      <c r="B4" s="2" t="s">
        <v>35</v>
      </c>
      <c r="C4" s="2" t="s">
        <v>55</v>
      </c>
      <c r="D4" s="2" t="s">
        <v>30</v>
      </c>
      <c r="E4" s="2" t="s">
        <v>56</v>
      </c>
      <c r="F4" s="3">
        <v>1600</v>
      </c>
      <c r="G4" s="3">
        <v>2800</v>
      </c>
      <c r="H4" s="3">
        <v>2300</v>
      </c>
      <c r="I4" s="3">
        <v>3800</v>
      </c>
      <c r="J4" s="3">
        <v>26</v>
      </c>
      <c r="K4" s="3">
        <v>32</v>
      </c>
      <c r="L4" s="2" t="s">
        <v>57</v>
      </c>
    </row>
    <row r="5" spans="1:12" x14ac:dyDescent="0.25">
      <c r="A5" s="2" t="s">
        <v>60</v>
      </c>
      <c r="B5" s="2" t="s">
        <v>35</v>
      </c>
      <c r="C5" s="2" t="s">
        <v>55</v>
      </c>
      <c r="D5" s="2" t="s">
        <v>33</v>
      </c>
      <c r="E5" s="2" t="s">
        <v>56</v>
      </c>
      <c r="F5" s="3">
        <v>1650</v>
      </c>
      <c r="G5" s="3">
        <v>2850</v>
      </c>
      <c r="H5" s="3">
        <v>2350</v>
      </c>
      <c r="I5" s="3">
        <v>3850</v>
      </c>
      <c r="J5" s="3">
        <v>27</v>
      </c>
      <c r="K5" s="3">
        <v>34</v>
      </c>
      <c r="L5" s="2" t="s">
        <v>57</v>
      </c>
    </row>
    <row r="6" spans="1:12" x14ac:dyDescent="0.25">
      <c r="A6" s="2" t="s">
        <v>61</v>
      </c>
      <c r="B6" s="2" t="s">
        <v>36</v>
      </c>
      <c r="C6" s="2" t="s">
        <v>55</v>
      </c>
      <c r="D6" s="2" t="s">
        <v>30</v>
      </c>
      <c r="E6" s="2" t="s">
        <v>56</v>
      </c>
      <c r="F6" s="3">
        <v>1700</v>
      </c>
      <c r="G6" s="3">
        <v>2900</v>
      </c>
      <c r="H6" s="3">
        <v>2400</v>
      </c>
      <c r="I6" s="3">
        <v>3900</v>
      </c>
      <c r="J6" s="3">
        <v>28</v>
      </c>
      <c r="K6" s="3">
        <v>34</v>
      </c>
      <c r="L6" s="2" t="s">
        <v>57</v>
      </c>
    </row>
    <row r="7" spans="1:12" x14ac:dyDescent="0.25">
      <c r="A7" s="2" t="s">
        <v>62</v>
      </c>
      <c r="B7" s="2" t="s">
        <v>36</v>
      </c>
      <c r="C7" s="2" t="s">
        <v>55</v>
      </c>
      <c r="D7" s="2" t="s">
        <v>33</v>
      </c>
      <c r="E7" s="2" t="s">
        <v>56</v>
      </c>
      <c r="F7" s="3">
        <v>1750</v>
      </c>
      <c r="G7" s="3">
        <v>2950</v>
      </c>
      <c r="H7" s="3">
        <v>2450</v>
      </c>
      <c r="I7" s="3">
        <v>3950</v>
      </c>
      <c r="J7" s="3">
        <v>29</v>
      </c>
      <c r="K7" s="3">
        <v>36</v>
      </c>
      <c r="L7" s="2" t="s">
        <v>57</v>
      </c>
    </row>
    <row r="8" spans="1:12" x14ac:dyDescent="0.25">
      <c r="A8" s="2" t="s">
        <v>63</v>
      </c>
      <c r="B8" s="2" t="s">
        <v>38</v>
      </c>
      <c r="C8" s="2" t="s">
        <v>55</v>
      </c>
      <c r="D8" s="2" t="s">
        <v>30</v>
      </c>
      <c r="E8" s="2" t="s">
        <v>56</v>
      </c>
      <c r="F8" s="3">
        <v>1650</v>
      </c>
      <c r="G8" s="3">
        <v>2850</v>
      </c>
      <c r="H8" s="3">
        <v>2350</v>
      </c>
      <c r="I8" s="3">
        <v>3850</v>
      </c>
      <c r="J8" s="3">
        <v>27</v>
      </c>
      <c r="K8" s="3">
        <v>33</v>
      </c>
      <c r="L8" s="2" t="s">
        <v>57</v>
      </c>
    </row>
    <row r="9" spans="1:12" x14ac:dyDescent="0.25">
      <c r="A9" s="2" t="s">
        <v>64</v>
      </c>
      <c r="B9" s="2" t="s">
        <v>38</v>
      </c>
      <c r="C9" s="2" t="s">
        <v>55</v>
      </c>
      <c r="D9" s="2" t="s">
        <v>33</v>
      </c>
      <c r="E9" s="2" t="s">
        <v>56</v>
      </c>
      <c r="F9" s="3">
        <v>1700</v>
      </c>
      <c r="G9" s="3">
        <v>2900</v>
      </c>
      <c r="H9" s="3">
        <v>2400</v>
      </c>
      <c r="I9" s="3">
        <v>3900</v>
      </c>
      <c r="J9" s="3">
        <v>28</v>
      </c>
      <c r="K9" s="3">
        <v>35</v>
      </c>
      <c r="L9" s="2" t="s">
        <v>57</v>
      </c>
    </row>
    <row r="10" spans="1:12" x14ac:dyDescent="0.25">
      <c r="A10" s="2" t="s">
        <v>65</v>
      </c>
      <c r="B10" s="2" t="s">
        <v>40</v>
      </c>
      <c r="C10" s="2" t="s">
        <v>55</v>
      </c>
      <c r="D10" s="2" t="s">
        <v>30</v>
      </c>
      <c r="E10" s="2" t="s">
        <v>66</v>
      </c>
      <c r="F10" s="3">
        <v>1800</v>
      </c>
      <c r="G10" s="3">
        <v>3000</v>
      </c>
      <c r="H10" s="3">
        <v>2500</v>
      </c>
      <c r="I10" s="3">
        <v>4000</v>
      </c>
      <c r="J10" s="3">
        <v>30</v>
      </c>
      <c r="K10" s="3">
        <v>36</v>
      </c>
      <c r="L10" s="2" t="s">
        <v>57</v>
      </c>
    </row>
    <row r="11" spans="1:12" x14ac:dyDescent="0.25">
      <c r="A11" s="2" t="s">
        <v>67</v>
      </c>
      <c r="B11" s="2" t="s">
        <v>40</v>
      </c>
      <c r="C11" s="2" t="s">
        <v>55</v>
      </c>
      <c r="D11" s="2" t="s">
        <v>33</v>
      </c>
      <c r="E11" s="2" t="s">
        <v>66</v>
      </c>
      <c r="F11" s="3">
        <v>1850</v>
      </c>
      <c r="G11" s="3">
        <v>3050</v>
      </c>
      <c r="H11" s="3">
        <v>2550</v>
      </c>
      <c r="I11" s="3">
        <v>4050</v>
      </c>
      <c r="J11" s="3">
        <v>31</v>
      </c>
      <c r="K11" s="3">
        <v>38</v>
      </c>
      <c r="L11" s="2" t="s">
        <v>57</v>
      </c>
    </row>
    <row r="12" spans="1:12" x14ac:dyDescent="0.25">
      <c r="A12" s="2" t="s">
        <v>68</v>
      </c>
      <c r="B12" s="2" t="s">
        <v>29</v>
      </c>
      <c r="C12" s="2" t="s">
        <v>69</v>
      </c>
      <c r="D12" s="2" t="s">
        <v>30</v>
      </c>
      <c r="E12" s="2" t="s">
        <v>66</v>
      </c>
      <c r="F12" s="3">
        <v>1700</v>
      </c>
      <c r="G12" s="3">
        <v>2900</v>
      </c>
      <c r="H12" s="3">
        <v>2400</v>
      </c>
      <c r="I12" s="3">
        <v>3900</v>
      </c>
      <c r="J12" s="3">
        <v>30</v>
      </c>
      <c r="K12" s="3">
        <v>38</v>
      </c>
      <c r="L12" s="2" t="s">
        <v>70</v>
      </c>
    </row>
    <row r="13" spans="1:12" x14ac:dyDescent="0.25">
      <c r="A13" s="2" t="s">
        <v>71</v>
      </c>
      <c r="B13" s="2" t="s">
        <v>29</v>
      </c>
      <c r="C13" s="2" t="s">
        <v>69</v>
      </c>
      <c r="D13" s="2" t="s">
        <v>33</v>
      </c>
      <c r="E13" s="2" t="s">
        <v>66</v>
      </c>
      <c r="F13" s="3">
        <v>1750</v>
      </c>
      <c r="G13" s="3">
        <v>2950</v>
      </c>
      <c r="H13" s="3">
        <v>2450</v>
      </c>
      <c r="I13" s="3">
        <v>3950</v>
      </c>
      <c r="J13" s="3">
        <v>31</v>
      </c>
      <c r="K13" s="3">
        <v>40</v>
      </c>
      <c r="L13" s="2" t="s">
        <v>70</v>
      </c>
    </row>
    <row r="14" spans="1:12" x14ac:dyDescent="0.25">
      <c r="A14" s="2" t="s">
        <v>72</v>
      </c>
      <c r="B14" s="2" t="s">
        <v>41</v>
      </c>
      <c r="C14" s="2" t="s">
        <v>73</v>
      </c>
      <c r="D14" s="2" t="s">
        <v>30</v>
      </c>
      <c r="E14" s="2" t="s">
        <v>66</v>
      </c>
      <c r="F14" s="3">
        <v>1900</v>
      </c>
      <c r="G14" s="3">
        <v>3100</v>
      </c>
      <c r="H14" s="3">
        <v>2600</v>
      </c>
      <c r="I14" s="3">
        <v>4100</v>
      </c>
      <c r="J14" s="3">
        <v>32</v>
      </c>
      <c r="K14" s="3">
        <v>40</v>
      </c>
      <c r="L14" s="2" t="s">
        <v>74</v>
      </c>
    </row>
    <row r="15" spans="1:12" x14ac:dyDescent="0.25">
      <c r="A15" s="2" t="s">
        <v>75</v>
      </c>
      <c r="B15" s="2" t="s">
        <v>41</v>
      </c>
      <c r="C15" s="2" t="s">
        <v>73</v>
      </c>
      <c r="D15" s="2" t="s">
        <v>33</v>
      </c>
      <c r="E15" s="2" t="s">
        <v>66</v>
      </c>
      <c r="F15" s="3">
        <v>1950</v>
      </c>
      <c r="G15" s="3">
        <v>3150</v>
      </c>
      <c r="H15" s="3">
        <v>2650</v>
      </c>
      <c r="I15" s="3">
        <v>4150</v>
      </c>
      <c r="J15" s="3">
        <v>33</v>
      </c>
      <c r="K15" s="3">
        <v>42</v>
      </c>
      <c r="L15" s="2" t="s">
        <v>74</v>
      </c>
    </row>
    <row r="16" spans="1:12" x14ac:dyDescent="0.25">
      <c r="A16" s="2" t="s">
        <v>76</v>
      </c>
      <c r="B16" s="2" t="s">
        <v>32</v>
      </c>
      <c r="C16" s="2" t="s">
        <v>77</v>
      </c>
      <c r="D16" s="2" t="s">
        <v>30</v>
      </c>
      <c r="E16" s="2" t="s">
        <v>66</v>
      </c>
      <c r="F16" s="3">
        <v>1900</v>
      </c>
      <c r="G16" s="3">
        <v>3200</v>
      </c>
      <c r="H16" s="3">
        <v>2700</v>
      </c>
      <c r="I16" s="3">
        <v>4300</v>
      </c>
      <c r="J16" s="3">
        <v>35</v>
      </c>
      <c r="K16" s="3">
        <v>42</v>
      </c>
      <c r="L16" s="2" t="s">
        <v>74</v>
      </c>
    </row>
    <row r="17" spans="1:12" x14ac:dyDescent="0.25">
      <c r="A17" s="2" t="s">
        <v>78</v>
      </c>
      <c r="B17" s="2" t="s">
        <v>32</v>
      </c>
      <c r="C17" s="2" t="s">
        <v>77</v>
      </c>
      <c r="D17" s="2" t="s">
        <v>33</v>
      </c>
      <c r="E17" s="2" t="s">
        <v>66</v>
      </c>
      <c r="F17" s="3">
        <v>1950</v>
      </c>
      <c r="G17" s="3">
        <v>3250</v>
      </c>
      <c r="H17" s="3">
        <v>2750</v>
      </c>
      <c r="I17" s="3">
        <v>4350</v>
      </c>
      <c r="J17" s="3">
        <v>36</v>
      </c>
      <c r="K17" s="3">
        <v>44</v>
      </c>
      <c r="L17" s="2" t="s">
        <v>74</v>
      </c>
    </row>
    <row r="18" spans="1:12" x14ac:dyDescent="0.25">
      <c r="A18" s="2" t="s">
        <v>79</v>
      </c>
      <c r="B18" s="2" t="s">
        <v>37</v>
      </c>
      <c r="C18" s="2" t="s">
        <v>39</v>
      </c>
      <c r="D18" s="2" t="s">
        <v>30</v>
      </c>
      <c r="E18" s="2" t="s">
        <v>66</v>
      </c>
      <c r="F18" s="3">
        <v>1850</v>
      </c>
      <c r="G18" s="3">
        <v>3100</v>
      </c>
      <c r="H18" s="3">
        <v>2600</v>
      </c>
      <c r="I18" s="3">
        <v>4200</v>
      </c>
      <c r="J18" s="3">
        <v>33</v>
      </c>
      <c r="K18" s="3">
        <v>40</v>
      </c>
      <c r="L18" s="2" t="s">
        <v>74</v>
      </c>
    </row>
    <row r="19" spans="1:12" x14ac:dyDescent="0.25">
      <c r="A19" s="2" t="s">
        <v>80</v>
      </c>
      <c r="B19" s="2" t="s">
        <v>37</v>
      </c>
      <c r="C19" s="2" t="s">
        <v>39</v>
      </c>
      <c r="D19" s="2" t="s">
        <v>33</v>
      </c>
      <c r="E19" s="2" t="s">
        <v>66</v>
      </c>
      <c r="F19" s="3">
        <v>1900</v>
      </c>
      <c r="G19" s="3">
        <v>3150</v>
      </c>
      <c r="H19" s="3">
        <v>2650</v>
      </c>
      <c r="I19" s="3">
        <v>4250</v>
      </c>
      <c r="J19" s="3">
        <v>34</v>
      </c>
      <c r="K19" s="3">
        <v>42</v>
      </c>
      <c r="L19" s="2" t="s">
        <v>82</v>
      </c>
    </row>
    <row r="20" spans="1:12" x14ac:dyDescent="0.25">
      <c r="A20" s="2" t="s">
        <v>80</v>
      </c>
      <c r="B20" s="2" t="s">
        <v>35</v>
      </c>
      <c r="C20" s="2" t="s">
        <v>39</v>
      </c>
      <c r="D20" s="2" t="s">
        <v>33</v>
      </c>
      <c r="E20" s="2" t="s">
        <v>66</v>
      </c>
      <c r="F20" s="3">
        <v>1900</v>
      </c>
      <c r="G20" s="3">
        <v>3150</v>
      </c>
      <c r="H20" s="3">
        <v>2650</v>
      </c>
      <c r="I20" s="3">
        <v>4250</v>
      </c>
      <c r="J20" s="3">
        <v>34</v>
      </c>
      <c r="K20" s="3">
        <v>42</v>
      </c>
      <c r="L20" s="2" t="s">
        <v>83</v>
      </c>
    </row>
    <row r="21" spans="1:12" x14ac:dyDescent="0.25">
      <c r="A21" s="2" t="s">
        <v>80</v>
      </c>
      <c r="B21" s="2" t="s">
        <v>35</v>
      </c>
      <c r="C21" s="2" t="s">
        <v>39</v>
      </c>
      <c r="D21" s="2" t="s">
        <v>33</v>
      </c>
      <c r="E21" s="2" t="s">
        <v>66</v>
      </c>
      <c r="F21" s="3">
        <v>1900</v>
      </c>
      <c r="G21" s="3">
        <v>3150</v>
      </c>
      <c r="H21" s="3">
        <v>2650</v>
      </c>
      <c r="I21" s="3">
        <v>4250</v>
      </c>
      <c r="J21" s="3">
        <v>34</v>
      </c>
      <c r="K21" s="3">
        <v>42</v>
      </c>
      <c r="L21" s="2" t="s">
        <v>84</v>
      </c>
    </row>
    <row r="22" spans="1:12" x14ac:dyDescent="0.25">
      <c r="A22" s="2" t="s">
        <v>80</v>
      </c>
      <c r="B22" s="2" t="s">
        <v>36</v>
      </c>
      <c r="C22" s="2" t="s">
        <v>39</v>
      </c>
      <c r="D22" s="2" t="s">
        <v>33</v>
      </c>
      <c r="E22" s="2" t="s">
        <v>66</v>
      </c>
      <c r="F22" s="3">
        <v>1900</v>
      </c>
      <c r="G22" s="3">
        <v>3150</v>
      </c>
      <c r="H22" s="3">
        <v>2650</v>
      </c>
      <c r="I22" s="3">
        <v>4250</v>
      </c>
      <c r="J22" s="3">
        <v>34</v>
      </c>
      <c r="K22" s="3">
        <v>42</v>
      </c>
      <c r="L22" s="2" t="s">
        <v>85</v>
      </c>
    </row>
    <row r="23" spans="1:12" x14ac:dyDescent="0.25">
      <c r="A23" s="2" t="s">
        <v>80</v>
      </c>
      <c r="B23" s="2" t="s">
        <v>36</v>
      </c>
      <c r="C23" s="2" t="s">
        <v>39</v>
      </c>
      <c r="D23" s="2" t="s">
        <v>33</v>
      </c>
      <c r="E23" s="2" t="s">
        <v>66</v>
      </c>
      <c r="F23" s="3">
        <v>1900</v>
      </c>
      <c r="G23" s="3">
        <v>3150</v>
      </c>
      <c r="H23" s="3">
        <v>2650</v>
      </c>
      <c r="I23" s="3">
        <v>4250</v>
      </c>
      <c r="J23" s="3">
        <v>34</v>
      </c>
      <c r="K23" s="3">
        <v>42</v>
      </c>
      <c r="L23" s="2" t="s">
        <v>86</v>
      </c>
    </row>
    <row r="24" spans="1:12" x14ac:dyDescent="0.25">
      <c r="A24" s="2" t="s">
        <v>80</v>
      </c>
      <c r="B24" s="2" t="s">
        <v>38</v>
      </c>
      <c r="C24" s="2" t="s">
        <v>39</v>
      </c>
      <c r="D24" s="2" t="s">
        <v>33</v>
      </c>
      <c r="E24" s="2" t="s">
        <v>66</v>
      </c>
      <c r="F24" s="3">
        <v>1900</v>
      </c>
      <c r="G24" s="3">
        <v>3150</v>
      </c>
      <c r="H24" s="3">
        <v>2650</v>
      </c>
      <c r="I24" s="3">
        <v>4250</v>
      </c>
      <c r="J24" s="3">
        <v>34</v>
      </c>
      <c r="K24" s="3">
        <v>42</v>
      </c>
      <c r="L24" s="2" t="s">
        <v>87</v>
      </c>
    </row>
    <row r="25" spans="1:12" x14ac:dyDescent="0.25">
      <c r="A25" s="2" t="s">
        <v>80</v>
      </c>
      <c r="B25" s="2" t="s">
        <v>38</v>
      </c>
      <c r="C25" s="2" t="s">
        <v>39</v>
      </c>
      <c r="D25" s="2" t="s">
        <v>33</v>
      </c>
      <c r="E25" s="2" t="s">
        <v>66</v>
      </c>
      <c r="F25" s="3">
        <v>1900</v>
      </c>
      <c r="G25" s="3">
        <v>3150</v>
      </c>
      <c r="H25" s="3">
        <v>2650</v>
      </c>
      <c r="I25" s="3">
        <v>4250</v>
      </c>
      <c r="J25" s="3">
        <v>34</v>
      </c>
      <c r="K25" s="3">
        <v>42</v>
      </c>
      <c r="L25" s="2" t="s">
        <v>88</v>
      </c>
    </row>
    <row r="26" spans="1:12" x14ac:dyDescent="0.25">
      <c r="A26" s="2" t="s">
        <v>80</v>
      </c>
      <c r="B26" s="2" t="s">
        <v>40</v>
      </c>
      <c r="C26" s="2" t="s">
        <v>39</v>
      </c>
      <c r="D26" s="2" t="s">
        <v>33</v>
      </c>
      <c r="E26" s="2" t="s">
        <v>66</v>
      </c>
      <c r="F26" s="3">
        <v>1900</v>
      </c>
      <c r="G26" s="3">
        <v>3150</v>
      </c>
      <c r="H26" s="3">
        <v>2650</v>
      </c>
      <c r="I26" s="3">
        <v>4250</v>
      </c>
      <c r="J26" s="3">
        <v>34</v>
      </c>
      <c r="K26" s="3">
        <v>42</v>
      </c>
      <c r="L26" s="2" t="s">
        <v>89</v>
      </c>
    </row>
    <row r="27" spans="1:12" x14ac:dyDescent="0.25">
      <c r="A27" s="2" t="s">
        <v>80</v>
      </c>
      <c r="B27" s="2" t="s">
        <v>40</v>
      </c>
      <c r="C27" s="2" t="s">
        <v>39</v>
      </c>
      <c r="D27" s="2" t="s">
        <v>33</v>
      </c>
      <c r="E27" s="2" t="s">
        <v>66</v>
      </c>
      <c r="F27" s="3">
        <v>1900</v>
      </c>
      <c r="G27" s="3">
        <v>3150</v>
      </c>
      <c r="H27" s="3">
        <v>2650</v>
      </c>
      <c r="I27" s="3">
        <v>4250</v>
      </c>
      <c r="J27" s="3">
        <v>34</v>
      </c>
      <c r="K27" s="3">
        <v>42</v>
      </c>
      <c r="L27" s="2" t="s">
        <v>90</v>
      </c>
    </row>
    <row r="28" spans="1:12" x14ac:dyDescent="0.25">
      <c r="A28" s="2" t="s">
        <v>80</v>
      </c>
      <c r="B28" s="2" t="s">
        <v>29</v>
      </c>
      <c r="C28" s="2" t="s">
        <v>39</v>
      </c>
      <c r="D28" s="2" t="s">
        <v>33</v>
      </c>
      <c r="E28" s="2" t="s">
        <v>66</v>
      </c>
      <c r="F28" s="3">
        <v>1900</v>
      </c>
      <c r="G28" s="3">
        <v>3150</v>
      </c>
      <c r="H28" s="3">
        <v>2650</v>
      </c>
      <c r="I28" s="3">
        <v>4250</v>
      </c>
      <c r="J28" s="3">
        <v>34</v>
      </c>
      <c r="K28" s="3">
        <v>42</v>
      </c>
      <c r="L28" s="2" t="s">
        <v>91</v>
      </c>
    </row>
    <row r="29" spans="1:12" x14ac:dyDescent="0.25">
      <c r="A29" s="2" t="s">
        <v>80</v>
      </c>
      <c r="B29" s="2" t="s">
        <v>29</v>
      </c>
      <c r="C29" s="2" t="s">
        <v>39</v>
      </c>
      <c r="D29" s="2" t="s">
        <v>33</v>
      </c>
      <c r="E29" s="2" t="s">
        <v>66</v>
      </c>
      <c r="F29" s="3">
        <v>1900</v>
      </c>
      <c r="G29" s="3">
        <v>3150</v>
      </c>
      <c r="H29" s="3">
        <v>2650</v>
      </c>
      <c r="I29" s="3">
        <v>4250</v>
      </c>
      <c r="J29" s="3">
        <v>34</v>
      </c>
      <c r="K29" s="3">
        <v>42</v>
      </c>
      <c r="L29" s="2" t="s">
        <v>92</v>
      </c>
    </row>
    <row r="30" spans="1:12" x14ac:dyDescent="0.25">
      <c r="A30" s="2" t="s">
        <v>80</v>
      </c>
      <c r="B30" s="2" t="s">
        <v>41</v>
      </c>
      <c r="C30" s="2" t="s">
        <v>39</v>
      </c>
      <c r="D30" s="2" t="s">
        <v>33</v>
      </c>
      <c r="E30" s="2" t="s">
        <v>66</v>
      </c>
      <c r="F30" s="3">
        <v>1900</v>
      </c>
      <c r="G30" s="3">
        <v>3150</v>
      </c>
      <c r="H30" s="3">
        <v>2650</v>
      </c>
      <c r="I30" s="3">
        <v>4250</v>
      </c>
      <c r="J30" s="3">
        <v>34</v>
      </c>
      <c r="K30" s="3">
        <v>42</v>
      </c>
      <c r="L30" s="2" t="s">
        <v>93</v>
      </c>
    </row>
    <row r="31" spans="1:12" x14ac:dyDescent="0.25">
      <c r="A31" s="2" t="s">
        <v>80</v>
      </c>
      <c r="B31" s="2" t="s">
        <v>41</v>
      </c>
      <c r="C31" s="2" t="s">
        <v>39</v>
      </c>
      <c r="D31" s="2" t="s">
        <v>33</v>
      </c>
      <c r="E31" s="2" t="s">
        <v>66</v>
      </c>
      <c r="F31" s="3">
        <v>1900</v>
      </c>
      <c r="G31" s="3">
        <v>3150</v>
      </c>
      <c r="H31" s="3">
        <v>2650</v>
      </c>
      <c r="I31" s="3">
        <v>4250</v>
      </c>
      <c r="J31" s="3">
        <v>34</v>
      </c>
      <c r="K31" s="3">
        <v>42</v>
      </c>
      <c r="L31" s="2" t="s">
        <v>94</v>
      </c>
    </row>
    <row r="32" spans="1:12" x14ac:dyDescent="0.25">
      <c r="A32" s="2" t="s">
        <v>80</v>
      </c>
      <c r="B32" s="2" t="s">
        <v>32</v>
      </c>
      <c r="C32" s="2" t="s">
        <v>39</v>
      </c>
      <c r="D32" s="2" t="s">
        <v>33</v>
      </c>
      <c r="E32" s="2" t="s">
        <v>66</v>
      </c>
      <c r="F32" s="3">
        <v>1900</v>
      </c>
      <c r="G32" s="3">
        <v>3150</v>
      </c>
      <c r="H32" s="3">
        <v>2650</v>
      </c>
      <c r="I32" s="3">
        <v>4250</v>
      </c>
      <c r="J32" s="3">
        <v>34</v>
      </c>
      <c r="K32" s="3">
        <v>42</v>
      </c>
      <c r="L32" s="2" t="s">
        <v>95</v>
      </c>
    </row>
    <row r="33" spans="2:2" x14ac:dyDescent="0.25">
      <c r="B33" s="2"/>
    </row>
  </sheetData>
  <autoFilter ref="A1:L19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Cotizacion</vt:lpstr>
      <vt:lpstr>Listas</vt:lpstr>
      <vt:lpstr>Tarifas Referencia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Salinas</dc:creator>
  <dc:description/>
  <cp:lastModifiedBy>Salinas Arenas Miguel Angel</cp:lastModifiedBy>
  <cp:revision>0</cp:revision>
  <dcterms:created xsi:type="dcterms:W3CDTF">2026-07-23T02:38:29Z</dcterms:created>
  <dcterms:modified xsi:type="dcterms:W3CDTF">2026-09-01T19:28:11Z</dcterms:modified>
  <dc:language>en-US</dc:language>
</cp:coreProperties>
</file>